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dor_Invoices" sheetId="1" state="visible" r:id="rId3"/>
    <sheet name="Connector_Permissions_Matrix" sheetId="2" state="visible" r:id="rId4"/>
    <sheet name="New_Skill_Planning_Workshee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<sst xmlns="http://schemas.openxmlformats.org/spreadsheetml/2006/main" count="149" uniqueCount="113">
  <si>
    <t xml:space="preserve">Meridian Manufacturing Co. — Vendor Invoices (Practice Data)</t>
  </si>
  <si>
    <t xml:space="preserve">Sample AP data for the Section 4 / Exercise 1 connector prompt. FY 2026-27 (Apr-Mar). All amounts in INR.</t>
  </si>
  <si>
    <t xml:space="preserve">Invoice No</t>
  </si>
  <si>
    <t xml:space="preserve">Vendor</t>
  </si>
  <si>
    <t xml:space="preserve">TDS Section</t>
  </si>
  <si>
    <t xml:space="preserve">Invoice Date</t>
  </si>
  <si>
    <t xml:space="preserve">Due Date</t>
  </si>
  <si>
    <t xml:space="preserve">Base Amount (INR)</t>
  </si>
  <si>
    <t xml:space="preserve">GST @18% (INR)</t>
  </si>
  <si>
    <t xml:space="preserve">TDS Rate</t>
  </si>
  <si>
    <t xml:space="preserve">TDS Amount (INR)</t>
  </si>
  <si>
    <t xml:space="preserve">Net Payable (INR)</t>
  </si>
  <si>
    <t xml:space="preserve">Status</t>
  </si>
  <si>
    <t xml:space="preserve">INV-2601</t>
  </si>
  <si>
    <t xml:space="preserve">Shree Precision Tools</t>
  </si>
  <si>
    <t xml:space="preserve">194C</t>
  </si>
  <si>
    <t xml:space="preserve">2026-04-05</t>
  </si>
  <si>
    <t xml:space="preserve">2026-05-05</t>
  </si>
  <si>
    <t xml:space="preserve">Paid</t>
  </si>
  <si>
    <t xml:space="preserve">INV-2602</t>
  </si>
  <si>
    <t xml:space="preserve">Apex Consulting Services</t>
  </si>
  <si>
    <t xml:space="preserve">194J</t>
  </si>
  <si>
    <t xml:space="preserve">2026-04-08</t>
  </si>
  <si>
    <t xml:space="preserve">2026-05-08</t>
  </si>
  <si>
    <t xml:space="preserve">Pending</t>
  </si>
  <si>
    <t xml:space="preserve">INV-2603</t>
  </si>
  <si>
    <t xml:space="preserve">Vikas Fabricators</t>
  </si>
  <si>
    <t xml:space="preserve">2026-04-10</t>
  </si>
  <si>
    <t xml:space="preserve">2026-05-10</t>
  </si>
  <si>
    <t xml:space="preserve">INV-2604</t>
  </si>
  <si>
    <t xml:space="preserve">Bright Logistics</t>
  </si>
  <si>
    <t xml:space="preserve">2026-04-12</t>
  </si>
  <si>
    <t xml:space="preserve">2026-04-27</t>
  </si>
  <si>
    <t xml:space="preserve">Overdue</t>
  </si>
  <si>
    <t xml:space="preserve">INV-2605</t>
  </si>
  <si>
    <t xml:space="preserve">Om Engineering Works</t>
  </si>
  <si>
    <t xml:space="preserve">2026-04-15</t>
  </si>
  <si>
    <t xml:space="preserve">2026-05-15</t>
  </si>
  <si>
    <t xml:space="preserve">INV-2606</t>
  </si>
  <si>
    <t xml:space="preserve">Sundar Components Pvt Ltd</t>
  </si>
  <si>
    <t xml:space="preserve">2026-04-18</t>
  </si>
  <si>
    <t xml:space="preserve">2026-05-18</t>
  </si>
  <si>
    <t xml:space="preserve">INV-2607</t>
  </si>
  <si>
    <t xml:space="preserve">Nova IT Solutions</t>
  </si>
  <si>
    <t xml:space="preserve">2026-04-20</t>
  </si>
  <si>
    <t xml:space="preserve">2026-05-20</t>
  </si>
  <si>
    <t xml:space="preserve">INV-2608</t>
  </si>
  <si>
    <t xml:space="preserve">Kavya Industrial Supplies</t>
  </si>
  <si>
    <t xml:space="preserve">2026-04-22</t>
  </si>
  <si>
    <t xml:space="preserve">2026-05-22</t>
  </si>
  <si>
    <t xml:space="preserve">INV-2609</t>
  </si>
  <si>
    <t xml:space="preserve">Metro Freight Carriers</t>
  </si>
  <si>
    <t xml:space="preserve">2026-04-24</t>
  </si>
  <si>
    <t xml:space="preserve">2026-05-09</t>
  </si>
  <si>
    <t xml:space="preserve">INV-2610</t>
  </si>
  <si>
    <t xml:space="preserve">Sigma Analytics Pvt Ltd</t>
  </si>
  <si>
    <t xml:space="preserve">2026-04-26</t>
  </si>
  <si>
    <t xml:space="preserve">2026-05-26</t>
  </si>
  <si>
    <t xml:space="preserve">INV-2611</t>
  </si>
  <si>
    <t xml:space="preserve">Ganesh Casting Co.</t>
  </si>
  <si>
    <t xml:space="preserve">2026-04-28</t>
  </si>
  <si>
    <t xml:space="preserve">2026-05-28</t>
  </si>
  <si>
    <t xml:space="preserve">INV-2612</t>
  </si>
  <si>
    <t xml:space="preserve">Trident Safety Equipments</t>
  </si>
  <si>
    <t xml:space="preserve">2026-04-30</t>
  </si>
  <si>
    <t xml:space="preserve">2026-05-30</t>
  </si>
  <si>
    <t xml:space="preserve">Totals</t>
  </si>
  <si>
    <t xml:space="preserve">Legend: shaded gold cells (Base Amount) are the editable inputs. GST, TDS Amount and Net Payable are formulas — change a Base Amount or TDS Rate and they recalculate.</t>
  </si>
  <si>
    <t xml:space="preserve">Connector Permissions Matrix</t>
  </si>
  <si>
    <t xml:space="preserve">Worked example (Meridian) plus two blank rows for Exercise 2 — your own connectors.</t>
  </si>
  <si>
    <t xml:space="preserve">Connector</t>
  </si>
  <si>
    <t xml:space="preserve">Tool / Action</t>
  </si>
  <si>
    <t xml:space="preserve">Category</t>
  </si>
  <si>
    <t xml:space="preserve">Permission Level</t>
  </si>
  <si>
    <t xml:space="preserve">Reason</t>
  </si>
  <si>
    <t xml:space="preserve">Set By</t>
  </si>
  <si>
    <t xml:space="preserve">Date Set</t>
  </si>
  <si>
    <t xml:space="preserve">Google Drive</t>
  </si>
  <si>
    <t xml:space="preserve">Search &amp; view files in AP folder</t>
  </si>
  <si>
    <t xml:space="preserve">Read-only</t>
  </si>
  <si>
    <t xml:space="preserve">Always allow</t>
  </si>
  <si>
    <t xml:space="preserve">Team reads invoices constantly; no risk in read access</t>
  </si>
  <si>
    <t xml:space="preserve">Priya Iyer</t>
  </si>
  <si>
    <t xml:space="preserve">2026-04-02</t>
  </si>
  <si>
    <t xml:space="preserve">Create / edit documents</t>
  </si>
  <si>
    <t xml:space="preserve">Write</t>
  </si>
  <si>
    <t xml:space="preserve">Needs approval</t>
  </si>
  <si>
    <t xml:space="preserve">Nobody wants Drive files changed without a human check</t>
  </si>
  <si>
    <t xml:space="preserve">Delete files</t>
  </si>
  <si>
    <t xml:space="preserve">Delete</t>
  </si>
  <si>
    <t xml:space="preserve">Blocked</t>
  </si>
  <si>
    <t xml:space="preserve">No business reason for Claude to delete source documents</t>
  </si>
  <si>
    <t xml:space="preserve">Gmail</t>
  </si>
  <si>
    <t xml:space="preserve">Search &amp; summarize email</t>
  </si>
  <si>
    <t xml:space="preserve">Speeds up status checks with no downside</t>
  </si>
  <si>
    <t xml:space="preserve">Send message</t>
  </si>
  <si>
    <t xml:space="preserve">Vendor-facing email must be reviewed before it goes out</t>
  </si>
  <si>
    <t xml:space="preserve">Fill the two blank rows with connectors you actually use, choose Always allow / Needs approval / Blocked, then set them for real under Customize &gt; Connectors.</t>
  </si>
  <si>
    <t xml:space="preserve">New Skill Planning Worksheet</t>
  </si>
  <si>
    <t xml:space="preserve">Plan a skill here before adding it to a plugin (Section 5, Path A). Worked example plus one blank row for Exercise 3.</t>
  </si>
  <si>
    <t xml:space="preserve">Skill Name</t>
  </si>
  <si>
    <t xml:space="preserve">Trigger Phrases</t>
  </si>
  <si>
    <t xml:space="preserve">Steps (in order)</t>
  </si>
  <si>
    <t xml:space="preserve">Data Source Needed</t>
  </si>
  <si>
    <t xml:space="preserve">Output Format</t>
  </si>
  <si>
    <t xml:space="preserve">Owner</t>
  </si>
  <si>
    <t xml:space="preserve">TDS Certificate Reminder</t>
  </si>
  <si>
    <t xml:space="preserve">TDS certificate status / Form 16A reminders</t>
  </si>
  <si>
    <t xml:space="preserve">1) Pull this quarter's TDS-deducted invoices from the vendor ledger. 2) Check which vendors are missing a Form 16A upload. 3) Draft one reminder email per vendor, polite but firm. 4) Queue drafts for approval — never send automatically. 5) Update the status column once sent.</t>
  </si>
  <si>
    <t xml:space="preserve">Google Drive — vendor ledger sheet</t>
  </si>
  <si>
    <t xml:space="preserve">Draft emails + status table</t>
  </si>
  <si>
    <t xml:space="preserve">In pilot</t>
  </si>
  <si>
    <t xml:space="preserve">Use the blank row for one repeatable task from your own work. This is close to what you'll type into the plugin customization prompt in Section 5.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</si>
</sst>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m\-yyyy"/>
    <numFmt numFmtId="166" formatCode="\₹#,##0"/>
    <numFmt numFmtId="167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2545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0B2545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i val="true"/>
      <sz val="9"/>
      <color rgb="FF595959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B2545"/>
        <bgColor rgb="FF333333"/>
      </patternFill>
    </fill>
    <fill>
      <patternFill patternType="solid">
        <fgColor rgb="FFF6EFD8"/>
        <bgColor rgb="FFE8EDF4"/>
      </patternFill>
    </fill>
    <fill>
      <patternFill patternType="solid">
        <fgColor rgb="FFFFFFFF"/>
        <bgColor rgb="FFF6EFD8"/>
      </patternFill>
    </fill>
    <fill>
      <patternFill patternType="solid">
        <fgColor rgb="FFE8EDF4"/>
        <bgColor rgb="FFF6EFD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6EFD8"/>
      <rgbColor rgb="FFE8ED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B2545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5" min="4" style="0" width="13"/>
    <col collapsed="false" customWidth="true" hidden="false" outlineLevel="0" max="6" min="6" style="0" width="16"/>
    <col collapsed="false" customWidth="true" hidden="false" outlineLevel="0" max="7" min="7" style="0" width="15"/>
    <col collapsed="false" customWidth="true" hidden="false" outlineLevel="0" max="8" min="8" style="0" width="10"/>
    <col collapsed="false" customWidth="true" hidden="false" outlineLevel="0" max="9" min="9" style="0" width="15"/>
    <col collapsed="false" customWidth="true" hidden="false" outlineLevel="0" max="10" min="10" style="0" width="16"/>
    <col collapsed="false" customWidth="true" hidden="false" outlineLevel="0" max="11" min="11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15" hidden="false" customHeight="false" outlineLevel="0" collapsed="false">
      <c r="A5" s="4" t="s">
        <v>13</v>
      </c>
      <c r="B5" s="4" t="s">
        <v>14</v>
      </c>
      <c r="C5" s="4" t="s">
        <v>15</v>
      </c>
      <c r="D5" s="5" t="s">
        <v>16</v>
      </c>
      <c r="E5" s="5" t="s">
        <v>17</v>
      </c>
      <c r="F5" s="6" t="n">
        <v>285000</v>
      </c>
      <c r="G5" s="7" t="n">
        <f aca="false">F5*0.18</f>
        <v>51300</v>
      </c>
      <c r="H5" s="8" t="n">
        <v>0.02</v>
      </c>
      <c r="I5" s="7" t="n">
        <f aca="false">F5*H5</f>
        <v>5700</v>
      </c>
      <c r="J5" s="7" t="n">
        <f aca="false">F5+G5-I5</f>
        <v>330600</v>
      </c>
      <c r="K5" s="4" t="s">
        <v>18</v>
      </c>
    </row>
    <row r="6" customFormat="false" ht="15" hidden="false" customHeight="false" outlineLevel="0" collapsed="false">
      <c r="A6" s="4" t="s">
        <v>19</v>
      </c>
      <c r="B6" s="4" t="s">
        <v>20</v>
      </c>
      <c r="C6" s="4" t="s">
        <v>21</v>
      </c>
      <c r="D6" s="5" t="s">
        <v>22</v>
      </c>
      <c r="E6" s="5" t="s">
        <v>23</v>
      </c>
      <c r="F6" s="6" t="n">
        <v>120000</v>
      </c>
      <c r="G6" s="7" t="n">
        <f aca="false">F6*0.18</f>
        <v>21600</v>
      </c>
      <c r="H6" s="8" t="n">
        <v>0.1</v>
      </c>
      <c r="I6" s="7" t="n">
        <f aca="false">F6*H6</f>
        <v>12000</v>
      </c>
      <c r="J6" s="7" t="n">
        <f aca="false">F6+G6-I6</f>
        <v>129600</v>
      </c>
      <c r="K6" s="4" t="s">
        <v>24</v>
      </c>
    </row>
    <row r="7" customFormat="false" ht="15" hidden="false" customHeight="false" outlineLevel="0" collapsed="false">
      <c r="A7" s="4" t="s">
        <v>25</v>
      </c>
      <c r="B7" s="4" t="s">
        <v>26</v>
      </c>
      <c r="C7" s="4" t="s">
        <v>15</v>
      </c>
      <c r="D7" s="5" t="s">
        <v>27</v>
      </c>
      <c r="E7" s="5" t="s">
        <v>28</v>
      </c>
      <c r="F7" s="6" t="n">
        <v>452000</v>
      </c>
      <c r="G7" s="7" t="n">
        <f aca="false">F7*0.18</f>
        <v>81360</v>
      </c>
      <c r="H7" s="8" t="n">
        <v>0.02</v>
      </c>
      <c r="I7" s="7" t="n">
        <f aca="false">F7*H7</f>
        <v>9040</v>
      </c>
      <c r="J7" s="7" t="n">
        <f aca="false">F7+G7-I7</f>
        <v>524320</v>
      </c>
      <c r="K7" s="4" t="s">
        <v>18</v>
      </c>
    </row>
    <row r="8" customFormat="false" ht="15" hidden="false" customHeight="false" outlineLevel="0" collapsed="false">
      <c r="A8" s="4" t="s">
        <v>29</v>
      </c>
      <c r="B8" s="4" t="s">
        <v>30</v>
      </c>
      <c r="C8" s="4" t="s">
        <v>15</v>
      </c>
      <c r="D8" s="5" t="s">
        <v>31</v>
      </c>
      <c r="E8" s="5" t="s">
        <v>32</v>
      </c>
      <c r="F8" s="6" t="n">
        <v>68000</v>
      </c>
      <c r="G8" s="7" t="n">
        <f aca="false">F8*0.18</f>
        <v>12240</v>
      </c>
      <c r="H8" s="8" t="n">
        <v>0.02</v>
      </c>
      <c r="I8" s="7" t="n">
        <f aca="false">F8*H8</f>
        <v>1360</v>
      </c>
      <c r="J8" s="7" t="n">
        <f aca="false">F8+G8-I8</f>
        <v>78880</v>
      </c>
      <c r="K8" s="4" t="s">
        <v>33</v>
      </c>
    </row>
    <row r="9" customFormat="false" ht="15" hidden="false" customHeight="false" outlineLevel="0" collapsed="false">
      <c r="A9" s="4" t="s">
        <v>34</v>
      </c>
      <c r="B9" s="4" t="s">
        <v>35</v>
      </c>
      <c r="C9" s="4" t="s">
        <v>15</v>
      </c>
      <c r="D9" s="5" t="s">
        <v>36</v>
      </c>
      <c r="E9" s="5" t="s">
        <v>37</v>
      </c>
      <c r="F9" s="6" t="n">
        <v>315000</v>
      </c>
      <c r="G9" s="7" t="n">
        <f aca="false">F9*0.18</f>
        <v>56700</v>
      </c>
      <c r="H9" s="8" t="n">
        <v>0.02</v>
      </c>
      <c r="I9" s="7" t="n">
        <f aca="false">F9*H9</f>
        <v>6300</v>
      </c>
      <c r="J9" s="7" t="n">
        <f aca="false">F9+G9-I9</f>
        <v>365400</v>
      </c>
      <c r="K9" s="4" t="s">
        <v>24</v>
      </c>
    </row>
    <row r="10" customFormat="false" ht="15" hidden="false" customHeight="false" outlineLevel="0" collapsed="false">
      <c r="A10" s="4" t="s">
        <v>38</v>
      </c>
      <c r="B10" s="4" t="s">
        <v>39</v>
      </c>
      <c r="C10" s="4" t="s">
        <v>15</v>
      </c>
      <c r="D10" s="5" t="s">
        <v>40</v>
      </c>
      <c r="E10" s="5" t="s">
        <v>41</v>
      </c>
      <c r="F10" s="6" t="n">
        <v>725000</v>
      </c>
      <c r="G10" s="7" t="n">
        <f aca="false">F10*0.18</f>
        <v>130500</v>
      </c>
      <c r="H10" s="8" t="n">
        <v>0.02</v>
      </c>
      <c r="I10" s="7" t="n">
        <f aca="false">F10*H10</f>
        <v>14500</v>
      </c>
      <c r="J10" s="7" t="n">
        <f aca="false">F10+G10-I10</f>
        <v>841000</v>
      </c>
      <c r="K10" s="4" t="s">
        <v>18</v>
      </c>
    </row>
    <row r="11" customFormat="false" ht="15" hidden="false" customHeight="false" outlineLevel="0" collapsed="false">
      <c r="A11" s="4" t="s">
        <v>42</v>
      </c>
      <c r="B11" s="4" t="s">
        <v>43</v>
      </c>
      <c r="C11" s="4" t="s">
        <v>21</v>
      </c>
      <c r="D11" s="5" t="s">
        <v>44</v>
      </c>
      <c r="E11" s="5" t="s">
        <v>45</v>
      </c>
      <c r="F11" s="6" t="n">
        <v>95000</v>
      </c>
      <c r="G11" s="7" t="n">
        <f aca="false">F11*0.18</f>
        <v>17100</v>
      </c>
      <c r="H11" s="8" t="n">
        <v>0.1</v>
      </c>
      <c r="I11" s="7" t="n">
        <f aca="false">F11*H11</f>
        <v>9500</v>
      </c>
      <c r="J11" s="7" t="n">
        <f aca="false">F11+G11-I11</f>
        <v>102600</v>
      </c>
      <c r="K11" s="4" t="s">
        <v>24</v>
      </c>
    </row>
    <row r="12" customFormat="false" ht="15" hidden="false" customHeight="false" outlineLevel="0" collapsed="false">
      <c r="A12" s="4" t="s">
        <v>46</v>
      </c>
      <c r="B12" s="4" t="s">
        <v>47</v>
      </c>
      <c r="C12" s="4" t="s">
        <v>15</v>
      </c>
      <c r="D12" s="5" t="s">
        <v>48</v>
      </c>
      <c r="E12" s="5" t="s">
        <v>49</v>
      </c>
      <c r="F12" s="6" t="n">
        <v>210000</v>
      </c>
      <c r="G12" s="7" t="n">
        <f aca="false">F12*0.18</f>
        <v>37800</v>
      </c>
      <c r="H12" s="8" t="n">
        <v>0.02</v>
      </c>
      <c r="I12" s="7" t="n">
        <f aca="false">F12*H12</f>
        <v>4200</v>
      </c>
      <c r="J12" s="7" t="n">
        <f aca="false">F12+G12-I12</f>
        <v>243600</v>
      </c>
      <c r="K12" s="4" t="s">
        <v>18</v>
      </c>
    </row>
    <row r="13" customFormat="false" ht="15" hidden="false" customHeight="false" outlineLevel="0" collapsed="false">
      <c r="A13" s="4" t="s">
        <v>50</v>
      </c>
      <c r="B13" s="4" t="s">
        <v>51</v>
      </c>
      <c r="C13" s="4" t="s">
        <v>15</v>
      </c>
      <c r="D13" s="5" t="s">
        <v>52</v>
      </c>
      <c r="E13" s="5" t="s">
        <v>53</v>
      </c>
      <c r="F13" s="6" t="n">
        <v>54000</v>
      </c>
      <c r="G13" s="7" t="n">
        <f aca="false">F13*0.18</f>
        <v>9720</v>
      </c>
      <c r="H13" s="8" t="n">
        <v>0.02</v>
      </c>
      <c r="I13" s="7" t="n">
        <f aca="false">F13*H13</f>
        <v>1080</v>
      </c>
      <c r="J13" s="7" t="n">
        <f aca="false">F13+G13-I13</f>
        <v>62640</v>
      </c>
      <c r="K13" s="4" t="s">
        <v>33</v>
      </c>
    </row>
    <row r="14" customFormat="false" ht="15" hidden="false" customHeight="false" outlineLevel="0" collapsed="false">
      <c r="A14" s="4" t="s">
        <v>54</v>
      </c>
      <c r="B14" s="4" t="s">
        <v>55</v>
      </c>
      <c r="C14" s="4" t="s">
        <v>21</v>
      </c>
      <c r="D14" s="5" t="s">
        <v>56</v>
      </c>
      <c r="E14" s="5" t="s">
        <v>57</v>
      </c>
      <c r="F14" s="6" t="n">
        <v>175000</v>
      </c>
      <c r="G14" s="7" t="n">
        <f aca="false">F14*0.18</f>
        <v>31500</v>
      </c>
      <c r="H14" s="8" t="n">
        <v>0.1</v>
      </c>
      <c r="I14" s="7" t="n">
        <f aca="false">F14*H14</f>
        <v>17500</v>
      </c>
      <c r="J14" s="7" t="n">
        <f aca="false">F14+G14-I14</f>
        <v>189000</v>
      </c>
      <c r="K14" s="4" t="s">
        <v>24</v>
      </c>
    </row>
    <row r="15" customFormat="false" ht="15" hidden="false" customHeight="false" outlineLevel="0" collapsed="false">
      <c r="A15" s="4" t="s">
        <v>58</v>
      </c>
      <c r="B15" s="4" t="s">
        <v>59</v>
      </c>
      <c r="C15" s="4" t="s">
        <v>15</v>
      </c>
      <c r="D15" s="5" t="s">
        <v>60</v>
      </c>
      <c r="E15" s="5" t="s">
        <v>61</v>
      </c>
      <c r="F15" s="6" t="n">
        <v>850000</v>
      </c>
      <c r="G15" s="7" t="n">
        <f aca="false">F15*0.18</f>
        <v>153000</v>
      </c>
      <c r="H15" s="8" t="n">
        <v>0.02</v>
      </c>
      <c r="I15" s="7" t="n">
        <f aca="false">F15*H15</f>
        <v>17000</v>
      </c>
      <c r="J15" s="7" t="n">
        <f aca="false">F15+G15-I15</f>
        <v>986000</v>
      </c>
      <c r="K15" s="4" t="s">
        <v>18</v>
      </c>
    </row>
    <row r="16" customFormat="false" ht="15" hidden="false" customHeight="false" outlineLevel="0" collapsed="false">
      <c r="A16" s="4" t="s">
        <v>62</v>
      </c>
      <c r="B16" s="4" t="s">
        <v>63</v>
      </c>
      <c r="C16" s="4" t="s">
        <v>15</v>
      </c>
      <c r="D16" s="5" t="s">
        <v>64</v>
      </c>
      <c r="E16" s="5" t="s">
        <v>65</v>
      </c>
      <c r="F16" s="6" t="n">
        <v>46000</v>
      </c>
      <c r="G16" s="7" t="n">
        <f aca="false">F16*0.18</f>
        <v>8280</v>
      </c>
      <c r="H16" s="8" t="n">
        <v>0.02</v>
      </c>
      <c r="I16" s="7" t="n">
        <f aca="false">F16*H16</f>
        <v>920</v>
      </c>
      <c r="J16" s="7" t="n">
        <f aca="false">F16+G16-I16</f>
        <v>53360</v>
      </c>
      <c r="K16" s="4" t="s">
        <v>24</v>
      </c>
    </row>
    <row r="18" customFormat="false" ht="15" hidden="false" customHeight="false" outlineLevel="0" collapsed="false">
      <c r="E18" s="9" t="s">
        <v>66</v>
      </c>
      <c r="F18" s="10" t="n">
        <f aca="false">SUM(F5:F16)</f>
        <v>3395000</v>
      </c>
      <c r="G18" s="10" t="n">
        <f aca="false">SUM(G5:G16)</f>
        <v>611100</v>
      </c>
      <c r="I18" s="10" t="n">
        <f aca="false">SUM(I5:I16)</f>
        <v>99100</v>
      </c>
      <c r="J18" s="10" t="n">
        <f aca="false">SUM(J5:J16)</f>
        <v>3907000</v>
      </c>
    </row>
    <row r="20" customFormat="false" ht="15" hidden="false" customHeight="false" outlineLevel="0" collapsed="false">
      <c r="A20" s="11" t="s">
        <v>67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</row>
  </sheetData>
  <mergeCells count="1">
    <mergeCell ref="A20:K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34"/>
    <col collapsed="false" customWidth="true" hidden="false" outlineLevel="0" max="6" min="6" style="0" width="16"/>
    <col collapsed="false" customWidth="true" hidden="false" outlineLevel="0" max="7" min="7" style="0" width="13"/>
  </cols>
  <sheetData>
    <row r="1" customFormat="false" ht="17.35" hidden="false" customHeight="false" outlineLevel="0" collapsed="false">
      <c r="A1" s="1" t="s">
        <v>68</v>
      </c>
    </row>
    <row r="2" customFormat="false" ht="15" hidden="false" customHeight="false" outlineLevel="0" collapsed="false">
      <c r="A2" s="2" t="s">
        <v>69</v>
      </c>
    </row>
    <row r="4" customFormat="false" ht="30" hidden="false" customHeight="true" outlineLevel="0" collapsed="false">
      <c r="A4" s="3" t="s">
        <v>70</v>
      </c>
      <c r="B4" s="3" t="s">
        <v>71</v>
      </c>
      <c r="C4" s="3" t="s">
        <v>72</v>
      </c>
      <c r="D4" s="3" t="s">
        <v>73</v>
      </c>
      <c r="E4" s="3" t="s">
        <v>74</v>
      </c>
      <c r="F4" s="3" t="s">
        <v>75</v>
      </c>
      <c r="G4" s="3" t="s">
        <v>76</v>
      </c>
    </row>
    <row r="5" customFormat="false" ht="30" hidden="false" customHeight="true" outlineLevel="0" collapsed="false">
      <c r="A5" s="12" t="s">
        <v>77</v>
      </c>
      <c r="B5" s="12" t="s">
        <v>78</v>
      </c>
      <c r="C5" s="12" t="s">
        <v>79</v>
      </c>
      <c r="D5" s="12" t="s">
        <v>80</v>
      </c>
      <c r="E5" s="13" t="s">
        <v>81</v>
      </c>
      <c r="F5" s="12" t="s">
        <v>82</v>
      </c>
      <c r="G5" s="12" t="s">
        <v>83</v>
      </c>
    </row>
    <row r="6" customFormat="false" ht="30" hidden="false" customHeight="true" outlineLevel="0" collapsed="false">
      <c r="A6" s="14" t="s">
        <v>77</v>
      </c>
      <c r="B6" s="14" t="s">
        <v>84</v>
      </c>
      <c r="C6" s="14" t="s">
        <v>85</v>
      </c>
      <c r="D6" s="14" t="s">
        <v>86</v>
      </c>
      <c r="E6" s="15" t="s">
        <v>87</v>
      </c>
      <c r="F6" s="14" t="s">
        <v>82</v>
      </c>
      <c r="G6" s="14" t="s">
        <v>83</v>
      </c>
    </row>
    <row r="7" customFormat="false" ht="30" hidden="false" customHeight="true" outlineLevel="0" collapsed="false">
      <c r="A7" s="12" t="s">
        <v>77</v>
      </c>
      <c r="B7" s="12" t="s">
        <v>88</v>
      </c>
      <c r="C7" s="12" t="s">
        <v>89</v>
      </c>
      <c r="D7" s="12" t="s">
        <v>90</v>
      </c>
      <c r="E7" s="13" t="s">
        <v>91</v>
      </c>
      <c r="F7" s="12" t="s">
        <v>82</v>
      </c>
      <c r="G7" s="12" t="s">
        <v>83</v>
      </c>
    </row>
    <row r="8" customFormat="false" ht="30" hidden="false" customHeight="true" outlineLevel="0" collapsed="false">
      <c r="A8" s="14" t="s">
        <v>92</v>
      </c>
      <c r="B8" s="14" t="s">
        <v>93</v>
      </c>
      <c r="C8" s="14" t="s">
        <v>79</v>
      </c>
      <c r="D8" s="14" t="s">
        <v>80</v>
      </c>
      <c r="E8" s="15" t="s">
        <v>94</v>
      </c>
      <c r="F8" s="14" t="s">
        <v>82</v>
      </c>
      <c r="G8" s="14" t="s">
        <v>83</v>
      </c>
    </row>
    <row r="9" customFormat="false" ht="30" hidden="false" customHeight="true" outlineLevel="0" collapsed="false">
      <c r="A9" s="12" t="s">
        <v>92</v>
      </c>
      <c r="B9" s="12" t="s">
        <v>95</v>
      </c>
      <c r="C9" s="12" t="s">
        <v>85</v>
      </c>
      <c r="D9" s="12" t="s">
        <v>86</v>
      </c>
      <c r="E9" s="13" t="s">
        <v>96</v>
      </c>
      <c r="F9" s="12" t="s">
        <v>82</v>
      </c>
      <c r="G9" s="12" t="s">
        <v>83</v>
      </c>
    </row>
    <row r="10" customFormat="false" ht="30" hidden="false" customHeight="true" outlineLevel="0" collapsed="false">
      <c r="A10" s="14"/>
      <c r="B10" s="14"/>
      <c r="C10" s="14"/>
      <c r="D10" s="14"/>
      <c r="E10" s="15"/>
      <c r="F10" s="14"/>
      <c r="G10" s="14"/>
    </row>
    <row r="11" customFormat="false" ht="30" hidden="false" customHeight="true" outlineLevel="0" collapsed="false">
      <c r="A11" s="12"/>
      <c r="B11" s="12"/>
      <c r="C11" s="12"/>
      <c r="D11" s="12"/>
      <c r="E11" s="13"/>
      <c r="F11" s="12"/>
      <c r="G11" s="12"/>
    </row>
    <row r="13" customFormat="false" ht="15" hidden="false" customHeight="false" outlineLevel="0" collapsed="false">
      <c r="A13" s="11" t="s">
        <v>97</v>
      </c>
      <c r="B13" s="11"/>
      <c r="C13" s="11"/>
      <c r="D13" s="11"/>
      <c r="E13" s="11"/>
      <c r="F13" s="11"/>
      <c r="G13" s="11"/>
    </row>
  </sheetData>
  <mergeCells count="1">
    <mergeCell ref="A13:G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6"/>
    <col collapsed="false" customWidth="true" hidden="false" outlineLevel="0" max="3" min="3" style="0" width="46"/>
    <col collapsed="false" customWidth="true" hidden="false" outlineLevel="0" max="4" min="4" style="0" width="24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7" min="7" style="0" width="12"/>
  </cols>
  <sheetData>
    <row r="1" customFormat="false" ht="17.35" hidden="false" customHeight="false" outlineLevel="0" collapsed="false">
      <c r="A1" s="1" t="s">
        <v>98</v>
      </c>
    </row>
    <row r="2" customFormat="false" ht="15" hidden="false" customHeight="false" outlineLevel="0" collapsed="false">
      <c r="A2" s="2" t="s">
        <v>99</v>
      </c>
    </row>
    <row r="4" customFormat="false" ht="30" hidden="false" customHeight="true" outlineLevel="0" collapsed="false">
      <c r="A4" s="3" t="s">
        <v>100</v>
      </c>
      <c r="B4" s="3" t="s">
        <v>101</v>
      </c>
      <c r="C4" s="3" t="s">
        <v>102</v>
      </c>
      <c r="D4" s="3" t="s">
        <v>103</v>
      </c>
      <c r="E4" s="3" t="s">
        <v>104</v>
      </c>
      <c r="F4" s="3" t="s">
        <v>105</v>
      </c>
      <c r="G4" s="3" t="s">
        <v>12</v>
      </c>
    </row>
    <row r="5" customFormat="false" ht="60" hidden="false" customHeight="true" outlineLevel="0" collapsed="false">
      <c r="A5" s="16" t="s">
        <v>106</v>
      </c>
      <c r="B5" s="16" t="s">
        <v>107</v>
      </c>
      <c r="C5" s="17" t="s">
        <v>108</v>
      </c>
      <c r="D5" s="16" t="s">
        <v>109</v>
      </c>
      <c r="E5" s="16" t="s">
        <v>110</v>
      </c>
      <c r="F5" s="16" t="s">
        <v>82</v>
      </c>
      <c r="G5" s="16" t="s">
        <v>111</v>
      </c>
    </row>
    <row r="6" customFormat="false" ht="19.5" hidden="false" customHeight="true" outlineLevel="0" collapsed="false">
      <c r="A6" s="12"/>
      <c r="B6" s="12"/>
      <c r="C6" s="18"/>
      <c r="D6" s="12"/>
      <c r="E6" s="12"/>
      <c r="F6" s="12"/>
      <c r="G6" s="12"/>
    </row>
    <row r="8" customFormat="false" ht="15" hidden="false" customHeight="false" outlineLevel="0" collapsed="false">
      <c r="A8" s="11" t="s">
        <v>112</v>
      </c>
      <c r="B8" s="11"/>
      <c r="C8" s="11"/>
      <c r="D8" s="11"/>
      <c r="E8" s="11"/>
      <c r="F8" s="11"/>
      <c r="G8" s="11"/>
    </row>
  </sheetData>
  <mergeCells count="1">
    <mergeCell ref="A8:G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2026-09-21T23:04:42Z</dcterms:created>
  <dc:creator>openpyxl</dc:creator>
  <dc:description/>
  <dc:language>en-US</dc:language>
  <cp:lastModifiedBy/>
  <dcterms:modified xsi:type="dcterms:W3CDTF">2026-09-21T23:04:42Z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