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 of Accounts" sheetId="1" state="visible" r:id="rId3"/>
    <sheet name="GST Rate Card" sheetId="2" state="visible" r:id="rId4"/>
    <sheet name="TDS Ready Reckoner" sheetId="3" state="visible" r:id="rId5"/>
    <sheet name="Vendor Ma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<sst xmlns="http://schemas.openxmlformats.org/spreadsheetml/2006/main" count="413" uniqueCount="253">
  <si>
    <t xml:space="preserve">Meridian Manufacturing Co. — Chart of Accounts</t>
  </si>
  <si>
    <t xml:space="preserve">Sample reference data for Claude Project knowledge · FY 2026–27 (April–March)</t>
  </si>
  <si>
    <t xml:space="preserve">Account Code</t>
  </si>
  <si>
    <t xml:space="preserve">Account Name</t>
  </si>
  <si>
    <t xml:space="preserve">Type</t>
  </si>
  <si>
    <t xml:space="preserve">Group / Head</t>
  </si>
  <si>
    <t xml:space="preserve">1000</t>
  </si>
  <si>
    <t xml:space="preserve">Land &amp; Building</t>
  </si>
  <si>
    <t xml:space="preserve">Asset</t>
  </si>
  <si>
    <t xml:space="preserve">Fixed Assets</t>
  </si>
  <si>
    <t xml:space="preserve">1010</t>
  </si>
  <si>
    <t xml:space="preserve">Plant &amp; Machinery</t>
  </si>
  <si>
    <t xml:space="preserve">1020</t>
  </si>
  <si>
    <t xml:space="preserve">Office Equipment</t>
  </si>
  <si>
    <t xml:space="preserve">1030</t>
  </si>
  <si>
    <t xml:space="preserve">Accumulated Depreciation</t>
  </si>
  <si>
    <t xml:space="preserve">Fixed Assets (Contra)</t>
  </si>
  <si>
    <t xml:space="preserve">1100</t>
  </si>
  <si>
    <t xml:space="preserve">Raw Material Inventory</t>
  </si>
  <si>
    <t xml:space="preserve">Current Assets</t>
  </si>
  <si>
    <t xml:space="preserve">1110</t>
  </si>
  <si>
    <t xml:space="preserve">Work-in-Progress Inventory</t>
  </si>
  <si>
    <t xml:space="preserve">1120</t>
  </si>
  <si>
    <t xml:space="preserve">Finished Goods Inventory</t>
  </si>
  <si>
    <t xml:space="preserve">1200</t>
  </si>
  <si>
    <t xml:space="preserve">Sundry Debtors (Trade Receivables)</t>
  </si>
  <si>
    <t xml:space="preserve">1210</t>
  </si>
  <si>
    <t xml:space="preserve">Advance to Vendors</t>
  </si>
  <si>
    <t xml:space="preserve">1300</t>
  </si>
  <si>
    <t xml:space="preserve">Cash in Hand</t>
  </si>
  <si>
    <t xml:space="preserve">1310</t>
  </si>
  <si>
    <t xml:space="preserve">Bank Account – Current A/c</t>
  </si>
  <si>
    <t xml:space="preserve">1320</t>
  </si>
  <si>
    <t xml:space="preserve">GST Input Tax Credit (ITC) Receivable</t>
  </si>
  <si>
    <t xml:space="preserve">1330</t>
  </si>
  <si>
    <t xml:space="preserve">TDS Receivable (Advance Tax)</t>
  </si>
  <si>
    <t xml:space="preserve">2000</t>
  </si>
  <si>
    <t xml:space="preserve">Sundry Creditors (Trade Payables)</t>
  </si>
  <si>
    <t xml:space="preserve">Liability</t>
  </si>
  <si>
    <t xml:space="preserve">Current Liabilities</t>
  </si>
  <si>
    <t xml:space="preserve">2010</t>
  </si>
  <si>
    <t xml:space="preserve">GST Output Tax Payable</t>
  </si>
  <si>
    <t xml:space="preserve">2020</t>
  </si>
  <si>
    <t xml:space="preserve">TDS Payable</t>
  </si>
  <si>
    <t xml:space="preserve">2030</t>
  </si>
  <si>
    <t xml:space="preserve">Salaries Payable</t>
  </si>
  <si>
    <t xml:space="preserve">2040</t>
  </si>
  <si>
    <t xml:space="preserve">Term Loan – Bank</t>
  </si>
  <si>
    <t xml:space="preserve">Non-Current Liabilities</t>
  </si>
  <si>
    <t xml:space="preserve">2050</t>
  </si>
  <si>
    <t xml:space="preserve">Provision for Expenses</t>
  </si>
  <si>
    <t xml:space="preserve">3000</t>
  </si>
  <si>
    <t xml:space="preserve">Share Capital</t>
  </si>
  <si>
    <t xml:space="preserve">Equity</t>
  </si>
  <si>
    <t xml:space="preserve">3010</t>
  </si>
  <si>
    <t xml:space="preserve">Reserves &amp; Surplus</t>
  </si>
  <si>
    <t xml:space="preserve">3020</t>
  </si>
  <si>
    <t xml:space="preserve">Retained Earnings</t>
  </si>
  <si>
    <t xml:space="preserve">4000</t>
  </si>
  <si>
    <t xml:space="preserve">Sales – Industrial Pumps</t>
  </si>
  <si>
    <t xml:space="preserve">Income</t>
  </si>
  <si>
    <t xml:space="preserve">Revenue</t>
  </si>
  <si>
    <t xml:space="preserve">4010</t>
  </si>
  <si>
    <t xml:space="preserve">Sales – Valves &amp; Fittings</t>
  </si>
  <si>
    <t xml:space="preserve">4020</t>
  </si>
  <si>
    <t xml:space="preserve">Sales – Spare Parts &amp; AMC</t>
  </si>
  <si>
    <t xml:space="preserve">4100</t>
  </si>
  <si>
    <t xml:space="preserve">Other Operating Income</t>
  </si>
  <si>
    <t xml:space="preserve">4200</t>
  </si>
  <si>
    <t xml:space="preserve">Interest Income</t>
  </si>
  <si>
    <t xml:space="preserve">Other Income</t>
  </si>
  <si>
    <t xml:space="preserve">5000</t>
  </si>
  <si>
    <t xml:space="preserve">Raw Material Consumption</t>
  </si>
  <si>
    <t xml:space="preserve">Expense</t>
  </si>
  <si>
    <t xml:space="preserve">Cost of Goods Sold</t>
  </si>
  <si>
    <t xml:space="preserve">5010</t>
  </si>
  <si>
    <t xml:space="preserve">Direct Labour</t>
  </si>
  <si>
    <t xml:space="preserve">5020</t>
  </si>
  <si>
    <t xml:space="preserve">Factory Overheads</t>
  </si>
  <si>
    <t xml:space="preserve">5030</t>
  </si>
  <si>
    <t xml:space="preserve">Freight Inward</t>
  </si>
  <si>
    <t xml:space="preserve">6000</t>
  </si>
  <si>
    <t xml:space="preserve">Freight Outward / Logistics</t>
  </si>
  <si>
    <t xml:space="preserve">Operating Expenses</t>
  </si>
  <si>
    <t xml:space="preserve">6010</t>
  </si>
  <si>
    <t xml:space="preserve">Power &amp; Fuel</t>
  </si>
  <si>
    <t xml:space="preserve">6020</t>
  </si>
  <si>
    <t xml:space="preserve">Repairs &amp; Maintenance</t>
  </si>
  <si>
    <t xml:space="preserve">6030</t>
  </si>
  <si>
    <t xml:space="preserve">Packing Material</t>
  </si>
  <si>
    <t xml:space="preserve">6100</t>
  </si>
  <si>
    <t xml:space="preserve">Salaries &amp; Wages (Admin)</t>
  </si>
  <si>
    <t xml:space="preserve">Administrative Expenses</t>
  </si>
  <si>
    <t xml:space="preserve">6110</t>
  </si>
  <si>
    <t xml:space="preserve">Rent</t>
  </si>
  <si>
    <t xml:space="preserve">6120</t>
  </si>
  <si>
    <t xml:space="preserve">Professional &amp; Consultancy Fees</t>
  </si>
  <si>
    <t xml:space="preserve">6130</t>
  </si>
  <si>
    <t xml:space="preserve">Office &amp; Admin Expenses</t>
  </si>
  <si>
    <t xml:space="preserve">7000</t>
  </si>
  <si>
    <t xml:space="preserve">Interest on Term Loan</t>
  </si>
  <si>
    <t xml:space="preserve">Finance Costs</t>
  </si>
  <si>
    <t xml:space="preserve">7010</t>
  </si>
  <si>
    <t xml:space="preserve">Bank Charges</t>
  </si>
  <si>
    <t xml:space="preserve">Note: sales accounts are split by product line (Industrial Pumps / Valves &amp; Fittings / Spare Parts &amp; AMC) to match the monthly MIS pack.</t>
  </si>
  <si>
    <t xml:space="preserve">Meridian Manufacturing Co. — GST Rate Card (HSN / SAC)</t>
  </si>
  <si>
    <t xml:space="preserve">Sample reference data for Claude Project knowledge · rates as applied in the reconciliation case study</t>
  </si>
  <si>
    <t xml:space="preserve">HSN / SAC</t>
  </si>
  <si>
    <t xml:space="preserve">Description</t>
  </si>
  <si>
    <t xml:space="preserve">Category</t>
  </si>
  <si>
    <t xml:space="preserve">Applicable To</t>
  </si>
  <si>
    <t xml:space="preserve">GST Rate</t>
  </si>
  <si>
    <t xml:space="preserve">Notes</t>
  </si>
  <si>
    <t xml:space="preserve">8413</t>
  </si>
  <si>
    <t xml:space="preserve">Pumps for liquids (centrifugal, reciprocating)</t>
  </si>
  <si>
    <t xml:space="preserve">Goods</t>
  </si>
  <si>
    <t xml:space="preserve">Sales – Finished Goods</t>
  </si>
  <si>
    <t xml:space="preserve">18%</t>
  </si>
  <si>
    <t xml:space="preserve">Core product – Industrial Pumps</t>
  </si>
  <si>
    <t xml:space="preserve">8481</t>
  </si>
  <si>
    <t xml:space="preserve">Taps, cocks, valves &amp; similar appliances</t>
  </si>
  <si>
    <t xml:space="preserve">Core product – Valves &amp; Fittings</t>
  </si>
  <si>
    <t xml:space="preserve">8413.91</t>
  </si>
  <si>
    <t xml:space="preserve">Pump parts &amp; spares</t>
  </si>
  <si>
    <t xml:space="preserve">Spare Parts &amp; AMC line</t>
  </si>
  <si>
    <t xml:space="preserve">9987</t>
  </si>
  <si>
    <t xml:space="preserve">Maintenance &amp; repair services (AMC contracts)</t>
  </si>
  <si>
    <t xml:space="preserve">Service</t>
  </si>
  <si>
    <t xml:space="preserve">Sales – Services</t>
  </si>
  <si>
    <t xml:space="preserve">AMC portion of Spare Parts &amp; AMC</t>
  </si>
  <si>
    <t xml:space="preserve">7213 / 7214</t>
  </si>
  <si>
    <t xml:space="preserve">Steel bars &amp; rods (raw material)</t>
  </si>
  <si>
    <t xml:space="preserve">Purchase</t>
  </si>
  <si>
    <t xml:space="preserve">Shree Steel Traders</t>
  </si>
  <si>
    <t xml:space="preserve">8482</t>
  </si>
  <si>
    <t xml:space="preserve">Ball / roller bearings</t>
  </si>
  <si>
    <t xml:space="preserve">Precision Bearings Pvt Ltd</t>
  </si>
  <si>
    <t xml:space="preserve">7307</t>
  </si>
  <si>
    <t xml:space="preserve">Tube &amp; pipe fittings, iron/steel</t>
  </si>
  <si>
    <t xml:space="preserve">Component purchases</t>
  </si>
  <si>
    <t xml:space="preserve">8536</t>
  </si>
  <si>
    <t xml:space="preserve">Electrical switches, relays, connectors</t>
  </si>
  <si>
    <t xml:space="preserve">Sundaram Electricals</t>
  </si>
  <si>
    <t xml:space="preserve">4819</t>
  </si>
  <si>
    <t xml:space="preserve">Corrugated cartons &amp; packing material</t>
  </si>
  <si>
    <t xml:space="preserve">12%</t>
  </si>
  <si>
    <t xml:space="preserve">Ganesh Packaging Solutions</t>
  </si>
  <si>
    <t xml:space="preserve">9965</t>
  </si>
  <si>
    <t xml:space="preserve">Goods Transport Agency (GTA) services</t>
  </si>
  <si>
    <t xml:space="preserve">5%</t>
  </si>
  <si>
    <t xml:space="preserve">No ITC on GTA @5% – Kaveri Logistics, Bharat Freight Carriers</t>
  </si>
  <si>
    <t xml:space="preserve">9983</t>
  </si>
  <si>
    <t xml:space="preserve">Management &amp; business consultancy services</t>
  </si>
  <si>
    <t xml:space="preserve">Northline Consultants (out-of-state – IGST)</t>
  </si>
  <si>
    <t xml:space="preserve">8207</t>
  </si>
  <si>
    <t xml:space="preserve">Tools, dies, jigs &amp; fixtures</t>
  </si>
  <si>
    <t xml:space="preserve">Apex Tooling Works</t>
  </si>
  <si>
    <t xml:space="preserve">Meridian Manufacturing Co. — TDS Section-Rate Ready Reckoner</t>
  </si>
  <si>
    <t xml:space="preserve">Sample reference data for Claude Project knowledge · Income Tax Act, FY 2026–27</t>
  </si>
  <si>
    <t xml:space="preserve">Section</t>
  </si>
  <si>
    <t xml:space="preserve">Nature of Payment</t>
  </si>
  <si>
    <t xml:space="preserve">Threshold</t>
  </si>
  <si>
    <t xml:space="preserve">Rate – Individual / HUF</t>
  </si>
  <si>
    <t xml:space="preserve">Rate – Others (Company / Firm / LLP)</t>
  </si>
  <si>
    <t xml:space="preserve">Rate if PAN Not Available</t>
  </si>
  <si>
    <t xml:space="preserve">194Q</t>
  </si>
  <si>
    <t xml:space="preserve">Purchase of goods (buyer turnover &gt; ₹10 cr in preceding FY)</t>
  </si>
  <si>
    <t xml:space="preserve">Aggregate purchase &gt; ₹50 lakh from vendor in FY</t>
  </si>
  <si>
    <t xml:space="preserve">0.10%</t>
  </si>
  <si>
    <t xml:space="preserve">194C</t>
  </si>
  <si>
    <t xml:space="preserve">Payment to contractors / sub-contractors</t>
  </si>
  <si>
    <t xml:space="preserve">Single payment &gt; ₹30,000 or aggregate &gt; ₹1,00,000 in FY</t>
  </si>
  <si>
    <t xml:space="preserve">1%</t>
  </si>
  <si>
    <t xml:space="preserve">2%</t>
  </si>
  <si>
    <t xml:space="preserve">20%</t>
  </si>
  <si>
    <t xml:space="preserve">194J</t>
  </si>
  <si>
    <t xml:space="preserve">Fees for professional or technical services</t>
  </si>
  <si>
    <t xml:space="preserve">Single / aggregate &gt; ₹30,000 in FY</t>
  </si>
  <si>
    <t xml:space="preserve">10% (2% technical svcs / call centre)</t>
  </si>
  <si>
    <t xml:space="preserve">194I(a)</t>
  </si>
  <si>
    <t xml:space="preserve">Rent – plant, machinery, equipment</t>
  </si>
  <si>
    <t xml:space="preserve">&gt; ₹2,40,000 p.a.</t>
  </si>
  <si>
    <t xml:space="preserve">194I(b)</t>
  </si>
  <si>
    <t xml:space="preserve">Rent – land, building, furniture</t>
  </si>
  <si>
    <t xml:space="preserve">10%</t>
  </si>
  <si>
    <t xml:space="preserve">194A</t>
  </si>
  <si>
    <t xml:space="preserve">Interest other than on securities (non-bank)</t>
  </si>
  <si>
    <t xml:space="preserve">&gt; ₹5,000 (varies by payer)</t>
  </si>
  <si>
    <t xml:space="preserve">194H</t>
  </si>
  <si>
    <t xml:space="preserve">Commission or brokerage</t>
  </si>
  <si>
    <t xml:space="preserve">&gt; ₹15,000 in FY</t>
  </si>
  <si>
    <t xml:space="preserve">194M</t>
  </si>
  <si>
    <t xml:space="preserve">Contract / professional / brokerage payment by individual or HUF not liable to tax audit</t>
  </si>
  <si>
    <t xml:space="preserve">&gt; ₹50 lakh in FY</t>
  </si>
  <si>
    <t xml:space="preserve">—</t>
  </si>
  <si>
    <t xml:space="preserve">Note: where Sec. 194Q and TCS u/s 206C(1H) both apply on the same transaction, 194Q takes precedence — the buyer deducts TDS and the seller need not collect TCS.</t>
  </si>
  <si>
    <t xml:space="preserve">Note: a Sec. 194C(6) declaration from a transporter owning ≤10 goods carriages, with PAN furnished, exempts the payment from TDS — see Vendor Master sheet.</t>
  </si>
  <si>
    <t xml:space="preserve">Meridian Manufacturing Co. — Vendor Master</t>
  </si>
  <si>
    <t xml:space="preserve">Sample reference data for Claude Project knowledge · drives GST rate &amp; TDS section/rate lookups</t>
  </si>
  <si>
    <t xml:space="preserve">Vendor Code</t>
  </si>
  <si>
    <t xml:space="preserve">Vendor Name</t>
  </si>
  <si>
    <t xml:space="preserve">Entity Type</t>
  </si>
  <si>
    <t xml:space="preserve">GSTIN</t>
  </si>
  <si>
    <t xml:space="preserve">State</t>
  </si>
  <si>
    <t xml:space="preserve">PAN Available</t>
  </si>
  <si>
    <t xml:space="preserve">Applicable TDS Section</t>
  </si>
  <si>
    <t xml:space="preserve">194C(6) Transporter Declaration</t>
  </si>
  <si>
    <t xml:space="preserve">TDS Rate Applicable</t>
  </si>
  <si>
    <t xml:space="preserve">V-001</t>
  </si>
  <si>
    <t xml:space="preserve">Individual / Proprietorship</t>
  </si>
  <si>
    <t xml:space="preserve">29ABCDE1234F1Z5</t>
  </si>
  <si>
    <t xml:space="preserve">Karnataka</t>
  </si>
  <si>
    <t xml:space="preserve">Raw Material (Steel)</t>
  </si>
  <si>
    <t xml:space="preserve">Y</t>
  </si>
  <si>
    <t xml:space="preserve">N/A</t>
  </si>
  <si>
    <t xml:space="preserve">V-002</t>
  </si>
  <si>
    <t xml:space="preserve">Company</t>
  </si>
  <si>
    <t xml:space="preserve">29PQRSX5678G1Z2</t>
  </si>
  <si>
    <t xml:space="preserve">Raw Material (Bearings)</t>
  </si>
  <si>
    <t xml:space="preserve">V-003</t>
  </si>
  <si>
    <t xml:space="preserve">Kaveri Logistics Pvt Ltd</t>
  </si>
  <si>
    <t xml:space="preserve">29KLTRN2345H1Z8</t>
  </si>
  <si>
    <t xml:space="preserve">Logistics</t>
  </si>
  <si>
    <t xml:space="preserve">N – not on file</t>
  </si>
  <si>
    <t xml:space="preserve">V-004</t>
  </si>
  <si>
    <t xml:space="preserve">29SNDE7890J1Z3</t>
  </si>
  <si>
    <t xml:space="preserve">Electricals</t>
  </si>
  <si>
    <t xml:space="preserve">V-005</t>
  </si>
  <si>
    <t xml:space="preserve">Partnership Firm</t>
  </si>
  <si>
    <t xml:space="preserve">29GPSF4567K1Z1</t>
  </si>
  <si>
    <t xml:space="preserve">Packaging (Job-work/Supply)</t>
  </si>
  <si>
    <t xml:space="preserve">N/A – not a transporter</t>
  </si>
  <si>
    <t xml:space="preserve">V-006</t>
  </si>
  <si>
    <t xml:space="preserve">Northline Consultants</t>
  </si>
  <si>
    <t xml:space="preserve">LLP</t>
  </si>
  <si>
    <t xml:space="preserve">27NRTC8901L1Z6</t>
  </si>
  <si>
    <t xml:space="preserve">Maharashtra (out-of-state)</t>
  </si>
  <si>
    <t xml:space="preserve">Professional Services</t>
  </si>
  <si>
    <t xml:space="preserve">V-007</t>
  </si>
  <si>
    <t xml:space="preserve">29APXT3456M1Z4</t>
  </si>
  <si>
    <t xml:space="preserve">Tooling</t>
  </si>
  <si>
    <t xml:space="preserve">V-008</t>
  </si>
  <si>
    <t xml:space="preserve">Bharat Freight Carriers Pvt Ltd</t>
  </si>
  <si>
    <t xml:space="preserve">29BFCP6789N1Z9</t>
  </si>
  <si>
    <t xml:space="preserve">V-009</t>
  </si>
  <si>
    <t xml:space="preserve">Om Sai Road Transport</t>
  </si>
  <si>
    <t xml:space="preserve">29OSRT1122P1Z7</t>
  </si>
  <si>
    <t xml:space="preserve">Y – on file</t>
  </si>
  <si>
    <t xml:space="preserve">V-010</t>
  </si>
  <si>
    <t xml:space="preserve">Vertex Consulting LLP</t>
  </si>
  <si>
    <t xml:space="preserve">29VRTX3344Q1Z0</t>
  </si>
  <si>
    <t xml:space="preserve">Note: “TDS Rate Applicable” is a live formula — change Entity Type, Applicable TDS Section or the 194C(6) declaration and the rate recalculates.</t>
  </si>
  <si>
    <t xml:space="preserve">Vendors V-003 and V-008 have no transporter declaration on file this month, so standard 194C TDS applies — this is what the reconciliation Skill should flag.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</si>
</sst>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3B3B3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B3B3B"/>
      <name val="Arial"/>
      <family val="0"/>
      <charset val="1"/>
    </font>
    <font>
      <i val="true"/>
      <sz val="9"/>
      <color rgb="FF3B3B3B"/>
      <name val="Arial"/>
      <family val="0"/>
      <charset val="1"/>
    </font>
    <font>
      <b val="true"/>
      <sz val="10"/>
      <color rgb="FF3B3B3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B3B3B"/>
      </patternFill>
    </fill>
    <fill>
      <patternFill patternType="solid">
        <fgColor rgb="FFF7F7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B3B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4" t="s">
        <v>8</v>
      </c>
      <c r="D5" s="4" t="s">
        <v>9</v>
      </c>
    </row>
    <row r="6" customFormat="false" ht="15" hidden="false" customHeight="false" outlineLevel="0" collapsed="false">
      <c r="A6" s="6" t="s">
        <v>10</v>
      </c>
      <c r="B6" s="7" t="s">
        <v>11</v>
      </c>
      <c r="C6" s="6" t="s">
        <v>8</v>
      </c>
      <c r="D6" s="6" t="s">
        <v>9</v>
      </c>
    </row>
    <row r="7" customFormat="false" ht="15" hidden="false" customHeight="false" outlineLevel="0" collapsed="false">
      <c r="A7" s="4" t="s">
        <v>12</v>
      </c>
      <c r="B7" s="5" t="s">
        <v>13</v>
      </c>
      <c r="C7" s="4" t="s">
        <v>8</v>
      </c>
      <c r="D7" s="4" t="s">
        <v>9</v>
      </c>
    </row>
    <row r="8" customFormat="false" ht="15" hidden="false" customHeight="false" outlineLevel="0" collapsed="false">
      <c r="A8" s="6" t="s">
        <v>14</v>
      </c>
      <c r="B8" s="7" t="s">
        <v>15</v>
      </c>
      <c r="C8" s="6" t="s">
        <v>8</v>
      </c>
      <c r="D8" s="6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4" t="s">
        <v>8</v>
      </c>
      <c r="D9" s="4" t="s">
        <v>19</v>
      </c>
    </row>
    <row r="10" customFormat="false" ht="15" hidden="false" customHeight="false" outlineLevel="0" collapsed="false">
      <c r="A10" s="6" t="s">
        <v>20</v>
      </c>
      <c r="B10" s="7" t="s">
        <v>21</v>
      </c>
      <c r="C10" s="6" t="s">
        <v>8</v>
      </c>
      <c r="D10" s="6" t="s">
        <v>19</v>
      </c>
    </row>
    <row r="11" customFormat="false" ht="15" hidden="false" customHeight="false" outlineLevel="0" collapsed="false">
      <c r="A11" s="4" t="s">
        <v>22</v>
      </c>
      <c r="B11" s="5" t="s">
        <v>23</v>
      </c>
      <c r="C11" s="4" t="s">
        <v>8</v>
      </c>
      <c r="D11" s="4" t="s">
        <v>19</v>
      </c>
    </row>
    <row r="12" customFormat="false" ht="15" hidden="false" customHeight="false" outlineLevel="0" collapsed="false">
      <c r="A12" s="6" t="s">
        <v>24</v>
      </c>
      <c r="B12" s="7" t="s">
        <v>25</v>
      </c>
      <c r="C12" s="6" t="s">
        <v>8</v>
      </c>
      <c r="D12" s="6" t="s">
        <v>19</v>
      </c>
    </row>
    <row r="13" customFormat="false" ht="15" hidden="false" customHeight="false" outlineLevel="0" collapsed="false">
      <c r="A13" s="4" t="s">
        <v>26</v>
      </c>
      <c r="B13" s="5" t="s">
        <v>27</v>
      </c>
      <c r="C13" s="4" t="s">
        <v>8</v>
      </c>
      <c r="D13" s="4" t="s">
        <v>19</v>
      </c>
    </row>
    <row r="14" customFormat="false" ht="15" hidden="false" customHeight="false" outlineLevel="0" collapsed="false">
      <c r="A14" s="6" t="s">
        <v>28</v>
      </c>
      <c r="B14" s="7" t="s">
        <v>29</v>
      </c>
      <c r="C14" s="6" t="s">
        <v>8</v>
      </c>
      <c r="D14" s="6" t="s">
        <v>19</v>
      </c>
    </row>
    <row r="15" customFormat="false" ht="15" hidden="false" customHeight="false" outlineLevel="0" collapsed="false">
      <c r="A15" s="4" t="s">
        <v>30</v>
      </c>
      <c r="B15" s="5" t="s">
        <v>31</v>
      </c>
      <c r="C15" s="4" t="s">
        <v>8</v>
      </c>
      <c r="D15" s="4" t="s">
        <v>19</v>
      </c>
    </row>
    <row r="16" customFormat="false" ht="15" hidden="false" customHeight="false" outlineLevel="0" collapsed="false">
      <c r="A16" s="6" t="s">
        <v>32</v>
      </c>
      <c r="B16" s="7" t="s">
        <v>33</v>
      </c>
      <c r="C16" s="6" t="s">
        <v>8</v>
      </c>
      <c r="D16" s="6" t="s">
        <v>19</v>
      </c>
    </row>
    <row r="17" customFormat="false" ht="15" hidden="false" customHeight="false" outlineLevel="0" collapsed="false">
      <c r="A17" s="4" t="s">
        <v>34</v>
      </c>
      <c r="B17" s="5" t="s">
        <v>35</v>
      </c>
      <c r="C17" s="4" t="s">
        <v>8</v>
      </c>
      <c r="D17" s="4" t="s">
        <v>19</v>
      </c>
    </row>
    <row r="18" customFormat="false" ht="15" hidden="false" customHeight="false" outlineLevel="0" collapsed="false">
      <c r="A18" s="6" t="s">
        <v>36</v>
      </c>
      <c r="B18" s="7" t="s">
        <v>37</v>
      </c>
      <c r="C18" s="6" t="s">
        <v>38</v>
      </c>
      <c r="D18" s="6" t="s">
        <v>39</v>
      </c>
    </row>
    <row r="19" customFormat="false" ht="15" hidden="false" customHeight="false" outlineLevel="0" collapsed="false">
      <c r="A19" s="4" t="s">
        <v>40</v>
      </c>
      <c r="B19" s="5" t="s">
        <v>41</v>
      </c>
      <c r="C19" s="4" t="s">
        <v>38</v>
      </c>
      <c r="D19" s="4" t="s">
        <v>39</v>
      </c>
    </row>
    <row r="20" customFormat="false" ht="15" hidden="false" customHeight="false" outlineLevel="0" collapsed="false">
      <c r="A20" s="6" t="s">
        <v>42</v>
      </c>
      <c r="B20" s="7" t="s">
        <v>43</v>
      </c>
      <c r="C20" s="6" t="s">
        <v>38</v>
      </c>
      <c r="D20" s="6" t="s">
        <v>39</v>
      </c>
    </row>
    <row r="21" customFormat="false" ht="15" hidden="false" customHeight="false" outlineLevel="0" collapsed="false">
      <c r="A21" s="4" t="s">
        <v>44</v>
      </c>
      <c r="B21" s="5" t="s">
        <v>45</v>
      </c>
      <c r="C21" s="4" t="s">
        <v>38</v>
      </c>
      <c r="D21" s="4" t="s">
        <v>39</v>
      </c>
    </row>
    <row r="22" customFormat="false" ht="15" hidden="false" customHeight="false" outlineLevel="0" collapsed="false">
      <c r="A22" s="6" t="s">
        <v>46</v>
      </c>
      <c r="B22" s="7" t="s">
        <v>47</v>
      </c>
      <c r="C22" s="6" t="s">
        <v>38</v>
      </c>
      <c r="D22" s="6" t="s">
        <v>48</v>
      </c>
    </row>
    <row r="23" customFormat="false" ht="15" hidden="false" customHeight="false" outlineLevel="0" collapsed="false">
      <c r="A23" s="4" t="s">
        <v>49</v>
      </c>
      <c r="B23" s="5" t="s">
        <v>50</v>
      </c>
      <c r="C23" s="4" t="s">
        <v>38</v>
      </c>
      <c r="D23" s="4" t="s">
        <v>39</v>
      </c>
    </row>
    <row r="24" customFormat="false" ht="15" hidden="false" customHeight="false" outlineLevel="0" collapsed="false">
      <c r="A24" s="6" t="s">
        <v>51</v>
      </c>
      <c r="B24" s="7" t="s">
        <v>52</v>
      </c>
      <c r="C24" s="6" t="s">
        <v>53</v>
      </c>
      <c r="D24" s="6" t="s">
        <v>53</v>
      </c>
    </row>
    <row r="25" customFormat="false" ht="15" hidden="false" customHeight="false" outlineLevel="0" collapsed="false">
      <c r="A25" s="4" t="s">
        <v>54</v>
      </c>
      <c r="B25" s="5" t="s">
        <v>55</v>
      </c>
      <c r="C25" s="4" t="s">
        <v>53</v>
      </c>
      <c r="D25" s="4" t="s">
        <v>53</v>
      </c>
    </row>
    <row r="26" customFormat="false" ht="15" hidden="false" customHeight="false" outlineLevel="0" collapsed="false">
      <c r="A26" s="6" t="s">
        <v>56</v>
      </c>
      <c r="B26" s="7" t="s">
        <v>57</v>
      </c>
      <c r="C26" s="6" t="s">
        <v>53</v>
      </c>
      <c r="D26" s="6" t="s">
        <v>53</v>
      </c>
    </row>
    <row r="27" customFormat="false" ht="15" hidden="false" customHeight="false" outlineLevel="0" collapsed="false">
      <c r="A27" s="4" t="s">
        <v>58</v>
      </c>
      <c r="B27" s="5" t="s">
        <v>59</v>
      </c>
      <c r="C27" s="4" t="s">
        <v>60</v>
      </c>
      <c r="D27" s="4" t="s">
        <v>61</v>
      </c>
    </row>
    <row r="28" customFormat="false" ht="15" hidden="false" customHeight="false" outlineLevel="0" collapsed="false">
      <c r="A28" s="6" t="s">
        <v>62</v>
      </c>
      <c r="B28" s="7" t="s">
        <v>63</v>
      </c>
      <c r="C28" s="6" t="s">
        <v>60</v>
      </c>
      <c r="D28" s="6" t="s">
        <v>61</v>
      </c>
    </row>
    <row r="29" customFormat="false" ht="15" hidden="false" customHeight="false" outlineLevel="0" collapsed="false">
      <c r="A29" s="4" t="s">
        <v>64</v>
      </c>
      <c r="B29" s="5" t="s">
        <v>65</v>
      </c>
      <c r="C29" s="4" t="s">
        <v>60</v>
      </c>
      <c r="D29" s="4" t="s">
        <v>61</v>
      </c>
    </row>
    <row r="30" customFormat="false" ht="15" hidden="false" customHeight="false" outlineLevel="0" collapsed="false">
      <c r="A30" s="6" t="s">
        <v>66</v>
      </c>
      <c r="B30" s="7" t="s">
        <v>67</v>
      </c>
      <c r="C30" s="6" t="s">
        <v>60</v>
      </c>
      <c r="D30" s="6" t="s">
        <v>61</v>
      </c>
    </row>
    <row r="31" customFormat="false" ht="15" hidden="false" customHeight="false" outlineLevel="0" collapsed="false">
      <c r="A31" s="4" t="s">
        <v>68</v>
      </c>
      <c r="B31" s="5" t="s">
        <v>69</v>
      </c>
      <c r="C31" s="4" t="s">
        <v>60</v>
      </c>
      <c r="D31" s="4" t="s">
        <v>70</v>
      </c>
    </row>
    <row r="32" customFormat="false" ht="15" hidden="false" customHeight="false" outlineLevel="0" collapsed="false">
      <c r="A32" s="6" t="s">
        <v>71</v>
      </c>
      <c r="B32" s="7" t="s">
        <v>72</v>
      </c>
      <c r="C32" s="6" t="s">
        <v>73</v>
      </c>
      <c r="D32" s="6" t="s">
        <v>74</v>
      </c>
    </row>
    <row r="33" customFormat="false" ht="15" hidden="false" customHeight="false" outlineLevel="0" collapsed="false">
      <c r="A33" s="4" t="s">
        <v>75</v>
      </c>
      <c r="B33" s="5" t="s">
        <v>76</v>
      </c>
      <c r="C33" s="4" t="s">
        <v>73</v>
      </c>
      <c r="D33" s="4" t="s">
        <v>74</v>
      </c>
    </row>
    <row r="34" customFormat="false" ht="15" hidden="false" customHeight="false" outlineLevel="0" collapsed="false">
      <c r="A34" s="6" t="s">
        <v>77</v>
      </c>
      <c r="B34" s="7" t="s">
        <v>78</v>
      </c>
      <c r="C34" s="6" t="s">
        <v>73</v>
      </c>
      <c r="D34" s="6" t="s">
        <v>74</v>
      </c>
    </row>
    <row r="35" customFormat="false" ht="15" hidden="false" customHeight="false" outlineLevel="0" collapsed="false">
      <c r="A35" s="4" t="s">
        <v>79</v>
      </c>
      <c r="B35" s="5" t="s">
        <v>80</v>
      </c>
      <c r="C35" s="4" t="s">
        <v>73</v>
      </c>
      <c r="D35" s="4" t="s">
        <v>74</v>
      </c>
    </row>
    <row r="36" customFormat="false" ht="15" hidden="false" customHeight="false" outlineLevel="0" collapsed="false">
      <c r="A36" s="6" t="s">
        <v>81</v>
      </c>
      <c r="B36" s="7" t="s">
        <v>82</v>
      </c>
      <c r="C36" s="6" t="s">
        <v>73</v>
      </c>
      <c r="D36" s="6" t="s">
        <v>83</v>
      </c>
    </row>
    <row r="37" customFormat="false" ht="15" hidden="false" customHeight="false" outlineLevel="0" collapsed="false">
      <c r="A37" s="4" t="s">
        <v>84</v>
      </c>
      <c r="B37" s="5" t="s">
        <v>85</v>
      </c>
      <c r="C37" s="4" t="s">
        <v>73</v>
      </c>
      <c r="D37" s="4" t="s">
        <v>83</v>
      </c>
    </row>
    <row r="38" customFormat="false" ht="15" hidden="false" customHeight="false" outlineLevel="0" collapsed="false">
      <c r="A38" s="6" t="s">
        <v>86</v>
      </c>
      <c r="B38" s="7" t="s">
        <v>87</v>
      </c>
      <c r="C38" s="6" t="s">
        <v>73</v>
      </c>
      <c r="D38" s="6" t="s">
        <v>83</v>
      </c>
    </row>
    <row r="39" customFormat="false" ht="15" hidden="false" customHeight="false" outlineLevel="0" collapsed="false">
      <c r="A39" s="4" t="s">
        <v>88</v>
      </c>
      <c r="B39" s="5" t="s">
        <v>89</v>
      </c>
      <c r="C39" s="4" t="s">
        <v>73</v>
      </c>
      <c r="D39" s="4" t="s">
        <v>83</v>
      </c>
    </row>
    <row r="40" customFormat="false" ht="15" hidden="false" customHeight="false" outlineLevel="0" collapsed="false">
      <c r="A40" s="6" t="s">
        <v>90</v>
      </c>
      <c r="B40" s="7" t="s">
        <v>91</v>
      </c>
      <c r="C40" s="6" t="s">
        <v>73</v>
      </c>
      <c r="D40" s="6" t="s">
        <v>92</v>
      </c>
    </row>
    <row r="41" customFormat="false" ht="15" hidden="false" customHeight="false" outlineLevel="0" collapsed="false">
      <c r="A41" s="4" t="s">
        <v>93</v>
      </c>
      <c r="B41" s="5" t="s">
        <v>94</v>
      </c>
      <c r="C41" s="4" t="s">
        <v>73</v>
      </c>
      <c r="D41" s="4" t="s">
        <v>92</v>
      </c>
    </row>
    <row r="42" customFormat="false" ht="15" hidden="false" customHeight="false" outlineLevel="0" collapsed="false">
      <c r="A42" s="6" t="s">
        <v>95</v>
      </c>
      <c r="B42" s="7" t="s">
        <v>96</v>
      </c>
      <c r="C42" s="6" t="s">
        <v>73</v>
      </c>
      <c r="D42" s="6" t="s">
        <v>92</v>
      </c>
    </row>
    <row r="43" customFormat="false" ht="15" hidden="false" customHeight="false" outlineLevel="0" collapsed="false">
      <c r="A43" s="4" t="s">
        <v>97</v>
      </c>
      <c r="B43" s="5" t="s">
        <v>98</v>
      </c>
      <c r="C43" s="4" t="s">
        <v>73</v>
      </c>
      <c r="D43" s="4" t="s">
        <v>92</v>
      </c>
    </row>
    <row r="44" customFormat="false" ht="15" hidden="false" customHeight="false" outlineLevel="0" collapsed="false">
      <c r="A44" s="6" t="s">
        <v>99</v>
      </c>
      <c r="B44" s="7" t="s">
        <v>100</v>
      </c>
      <c r="C44" s="6" t="s">
        <v>73</v>
      </c>
      <c r="D44" s="6" t="s">
        <v>101</v>
      </c>
    </row>
    <row r="45" customFormat="false" ht="15" hidden="false" customHeight="false" outlineLevel="0" collapsed="false">
      <c r="A45" s="4" t="s">
        <v>102</v>
      </c>
      <c r="B45" s="5" t="s">
        <v>103</v>
      </c>
      <c r="C45" s="4" t="s">
        <v>73</v>
      </c>
      <c r="D45" s="4" t="s">
        <v>101</v>
      </c>
    </row>
    <row r="47" customFormat="false" ht="15" hidden="false" customHeight="false" outlineLevel="0" collapsed="false">
      <c r="A47" s="8" t="s">
        <v>104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3" t="s">
        <v>107</v>
      </c>
      <c r="B4" s="3" t="s">
        <v>108</v>
      </c>
      <c r="C4" s="3" t="s">
        <v>109</v>
      </c>
      <c r="D4" s="3" t="s">
        <v>110</v>
      </c>
      <c r="E4" s="3" t="s">
        <v>111</v>
      </c>
      <c r="F4" s="3" t="s">
        <v>112</v>
      </c>
    </row>
    <row r="5" customFormat="false" ht="15" hidden="false" customHeight="false" outlineLevel="0" collapsed="false">
      <c r="A5" s="4" t="s">
        <v>113</v>
      </c>
      <c r="B5" s="9" t="s">
        <v>114</v>
      </c>
      <c r="C5" s="4" t="s">
        <v>115</v>
      </c>
      <c r="D5" s="4" t="s">
        <v>116</v>
      </c>
      <c r="E5" s="4" t="s">
        <v>117</v>
      </c>
      <c r="F5" s="9" t="s">
        <v>118</v>
      </c>
    </row>
    <row r="6" customFormat="false" ht="15" hidden="false" customHeight="false" outlineLevel="0" collapsed="false">
      <c r="A6" s="6" t="s">
        <v>119</v>
      </c>
      <c r="B6" s="10" t="s">
        <v>120</v>
      </c>
      <c r="C6" s="6" t="s">
        <v>115</v>
      </c>
      <c r="D6" s="6" t="s">
        <v>116</v>
      </c>
      <c r="E6" s="6" t="s">
        <v>117</v>
      </c>
      <c r="F6" s="10" t="s">
        <v>121</v>
      </c>
    </row>
    <row r="7" customFormat="false" ht="15" hidden="false" customHeight="false" outlineLevel="0" collapsed="false">
      <c r="A7" s="4" t="s">
        <v>122</v>
      </c>
      <c r="B7" s="9" t="s">
        <v>123</v>
      </c>
      <c r="C7" s="4" t="s">
        <v>115</v>
      </c>
      <c r="D7" s="4" t="s">
        <v>116</v>
      </c>
      <c r="E7" s="4" t="s">
        <v>117</v>
      </c>
      <c r="F7" s="9" t="s">
        <v>124</v>
      </c>
    </row>
    <row r="8" customFormat="false" ht="15" hidden="false" customHeight="false" outlineLevel="0" collapsed="false">
      <c r="A8" s="6" t="s">
        <v>125</v>
      </c>
      <c r="B8" s="10" t="s">
        <v>126</v>
      </c>
      <c r="C8" s="6" t="s">
        <v>127</v>
      </c>
      <c r="D8" s="6" t="s">
        <v>128</v>
      </c>
      <c r="E8" s="6" t="s">
        <v>117</v>
      </c>
      <c r="F8" s="10" t="s">
        <v>129</v>
      </c>
    </row>
    <row r="9" customFormat="false" ht="15" hidden="false" customHeight="false" outlineLevel="0" collapsed="false">
      <c r="A9" s="4" t="s">
        <v>130</v>
      </c>
      <c r="B9" s="9" t="s">
        <v>131</v>
      </c>
      <c r="C9" s="4" t="s">
        <v>115</v>
      </c>
      <c r="D9" s="4" t="s">
        <v>132</v>
      </c>
      <c r="E9" s="4" t="s">
        <v>117</v>
      </c>
      <c r="F9" s="9" t="s">
        <v>133</v>
      </c>
    </row>
    <row r="10" customFormat="false" ht="15" hidden="false" customHeight="false" outlineLevel="0" collapsed="false">
      <c r="A10" s="6" t="s">
        <v>134</v>
      </c>
      <c r="B10" s="10" t="s">
        <v>135</v>
      </c>
      <c r="C10" s="6" t="s">
        <v>115</v>
      </c>
      <c r="D10" s="6" t="s">
        <v>132</v>
      </c>
      <c r="E10" s="6" t="s">
        <v>117</v>
      </c>
      <c r="F10" s="10" t="s">
        <v>136</v>
      </c>
    </row>
    <row r="11" customFormat="false" ht="15" hidden="false" customHeight="false" outlineLevel="0" collapsed="false">
      <c r="A11" s="4" t="s">
        <v>137</v>
      </c>
      <c r="B11" s="9" t="s">
        <v>138</v>
      </c>
      <c r="C11" s="4" t="s">
        <v>115</v>
      </c>
      <c r="D11" s="4" t="s">
        <v>132</v>
      </c>
      <c r="E11" s="4" t="s">
        <v>117</v>
      </c>
      <c r="F11" s="9" t="s">
        <v>139</v>
      </c>
    </row>
    <row r="12" customFormat="false" ht="15" hidden="false" customHeight="false" outlineLevel="0" collapsed="false">
      <c r="A12" s="6" t="s">
        <v>140</v>
      </c>
      <c r="B12" s="10" t="s">
        <v>141</v>
      </c>
      <c r="C12" s="6" t="s">
        <v>115</v>
      </c>
      <c r="D12" s="6" t="s">
        <v>132</v>
      </c>
      <c r="E12" s="6" t="s">
        <v>117</v>
      </c>
      <c r="F12" s="10" t="s">
        <v>142</v>
      </c>
    </row>
    <row r="13" customFormat="false" ht="15" hidden="false" customHeight="false" outlineLevel="0" collapsed="false">
      <c r="A13" s="4" t="s">
        <v>143</v>
      </c>
      <c r="B13" s="9" t="s">
        <v>144</v>
      </c>
      <c r="C13" s="4" t="s">
        <v>115</v>
      </c>
      <c r="D13" s="4" t="s">
        <v>132</v>
      </c>
      <c r="E13" s="4" t="s">
        <v>145</v>
      </c>
      <c r="F13" s="9" t="s">
        <v>146</v>
      </c>
    </row>
    <row r="14" customFormat="false" ht="23.85" hidden="false" customHeight="false" outlineLevel="0" collapsed="false">
      <c r="A14" s="6" t="s">
        <v>147</v>
      </c>
      <c r="B14" s="10" t="s">
        <v>148</v>
      </c>
      <c r="C14" s="6" t="s">
        <v>127</v>
      </c>
      <c r="D14" s="6" t="s">
        <v>132</v>
      </c>
      <c r="E14" s="6" t="s">
        <v>149</v>
      </c>
      <c r="F14" s="10" t="s">
        <v>150</v>
      </c>
    </row>
    <row r="15" customFormat="false" ht="15" hidden="false" customHeight="false" outlineLevel="0" collapsed="false">
      <c r="A15" s="4" t="s">
        <v>151</v>
      </c>
      <c r="B15" s="9" t="s">
        <v>152</v>
      </c>
      <c r="C15" s="4" t="s">
        <v>127</v>
      </c>
      <c r="D15" s="4" t="s">
        <v>132</v>
      </c>
      <c r="E15" s="4" t="s">
        <v>117</v>
      </c>
      <c r="F15" s="9" t="s">
        <v>153</v>
      </c>
    </row>
    <row r="16" customFormat="false" ht="15" hidden="false" customHeight="false" outlineLevel="0" collapsed="false">
      <c r="A16" s="6" t="s">
        <v>154</v>
      </c>
      <c r="B16" s="10" t="s">
        <v>155</v>
      </c>
      <c r="C16" s="6" t="s">
        <v>115</v>
      </c>
      <c r="D16" s="6" t="s">
        <v>132</v>
      </c>
      <c r="E16" s="6" t="s">
        <v>117</v>
      </c>
      <c r="F16" s="10" t="s">
        <v>156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23.85" hidden="false" customHeight="false" outlineLevel="0" collapsed="false">
      <c r="A4" s="3" t="s">
        <v>159</v>
      </c>
      <c r="B4" s="3" t="s">
        <v>160</v>
      </c>
      <c r="C4" s="3" t="s">
        <v>161</v>
      </c>
      <c r="D4" s="3" t="s">
        <v>162</v>
      </c>
      <c r="E4" s="3" t="s">
        <v>163</v>
      </c>
      <c r="F4" s="3" t="s">
        <v>164</v>
      </c>
    </row>
    <row r="5" customFormat="false" ht="23.85" hidden="false" customHeight="false" outlineLevel="0" collapsed="false">
      <c r="A5" s="4" t="s">
        <v>165</v>
      </c>
      <c r="B5" s="9" t="s">
        <v>166</v>
      </c>
      <c r="C5" s="9" t="s">
        <v>167</v>
      </c>
      <c r="D5" s="9" t="s">
        <v>168</v>
      </c>
      <c r="E5" s="9" t="s">
        <v>168</v>
      </c>
      <c r="F5" s="4" t="s">
        <v>149</v>
      </c>
    </row>
    <row r="6" customFormat="false" ht="23.85" hidden="false" customHeight="false" outlineLevel="0" collapsed="false">
      <c r="A6" s="6" t="s">
        <v>169</v>
      </c>
      <c r="B6" s="10" t="s">
        <v>170</v>
      </c>
      <c r="C6" s="10" t="s">
        <v>171</v>
      </c>
      <c r="D6" s="10" t="s">
        <v>172</v>
      </c>
      <c r="E6" s="10" t="s">
        <v>173</v>
      </c>
      <c r="F6" s="6" t="s">
        <v>174</v>
      </c>
    </row>
    <row r="7" customFormat="false" ht="23.85" hidden="false" customHeight="false" outlineLevel="0" collapsed="false">
      <c r="A7" s="4" t="s">
        <v>175</v>
      </c>
      <c r="B7" s="9" t="s">
        <v>176</v>
      </c>
      <c r="C7" s="9" t="s">
        <v>177</v>
      </c>
      <c r="D7" s="9" t="s">
        <v>178</v>
      </c>
      <c r="E7" s="9" t="s">
        <v>178</v>
      </c>
      <c r="F7" s="4" t="s">
        <v>174</v>
      </c>
    </row>
    <row r="8" customFormat="false" ht="15" hidden="false" customHeight="false" outlineLevel="0" collapsed="false">
      <c r="A8" s="6" t="s">
        <v>179</v>
      </c>
      <c r="B8" s="10" t="s">
        <v>180</v>
      </c>
      <c r="C8" s="10" t="s">
        <v>181</v>
      </c>
      <c r="D8" s="10" t="s">
        <v>173</v>
      </c>
      <c r="E8" s="10" t="s">
        <v>173</v>
      </c>
      <c r="F8" s="6" t="s">
        <v>174</v>
      </c>
    </row>
    <row r="9" customFormat="false" ht="15" hidden="false" customHeight="false" outlineLevel="0" collapsed="false">
      <c r="A9" s="4" t="s">
        <v>182</v>
      </c>
      <c r="B9" s="9" t="s">
        <v>183</v>
      </c>
      <c r="C9" s="9" t="s">
        <v>181</v>
      </c>
      <c r="D9" s="9" t="s">
        <v>184</v>
      </c>
      <c r="E9" s="9" t="s">
        <v>184</v>
      </c>
      <c r="F9" s="4" t="s">
        <v>174</v>
      </c>
    </row>
    <row r="10" customFormat="false" ht="23.85" hidden="false" customHeight="false" outlineLevel="0" collapsed="false">
      <c r="A10" s="6" t="s">
        <v>185</v>
      </c>
      <c r="B10" s="10" t="s">
        <v>186</v>
      </c>
      <c r="C10" s="10" t="s">
        <v>187</v>
      </c>
      <c r="D10" s="10" t="s">
        <v>184</v>
      </c>
      <c r="E10" s="10" t="s">
        <v>184</v>
      </c>
      <c r="F10" s="6" t="s">
        <v>174</v>
      </c>
    </row>
    <row r="11" customFormat="false" ht="15" hidden="false" customHeight="false" outlineLevel="0" collapsed="false">
      <c r="A11" s="4" t="s">
        <v>188</v>
      </c>
      <c r="B11" s="9" t="s">
        <v>189</v>
      </c>
      <c r="C11" s="9" t="s">
        <v>190</v>
      </c>
      <c r="D11" s="9" t="s">
        <v>173</v>
      </c>
      <c r="E11" s="9" t="s">
        <v>173</v>
      </c>
      <c r="F11" s="4" t="s">
        <v>174</v>
      </c>
    </row>
    <row r="12" customFormat="false" ht="35.05" hidden="false" customHeight="false" outlineLevel="0" collapsed="false">
      <c r="A12" s="6" t="s">
        <v>191</v>
      </c>
      <c r="B12" s="10" t="s">
        <v>192</v>
      </c>
      <c r="C12" s="10" t="s">
        <v>193</v>
      </c>
      <c r="D12" s="10" t="s">
        <v>149</v>
      </c>
      <c r="E12" s="10" t="s">
        <v>194</v>
      </c>
      <c r="F12" s="6" t="s">
        <v>174</v>
      </c>
    </row>
    <row r="14" customFormat="false" ht="15" hidden="false" customHeight="false" outlineLevel="0" collapsed="false">
      <c r="A14" s="8" t="s">
        <v>195</v>
      </c>
    </row>
    <row r="15" customFormat="false" ht="15" hidden="false" customHeight="false" outlineLevel="0" collapsed="false">
      <c r="A15" s="8" t="s">
        <v>196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1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23.85" hidden="false" customHeight="false" outlineLevel="0" collapsed="false">
      <c r="A4" s="3" t="s">
        <v>199</v>
      </c>
      <c r="B4" s="3" t="s">
        <v>200</v>
      </c>
      <c r="C4" s="3" t="s">
        <v>201</v>
      </c>
      <c r="D4" s="3" t="s">
        <v>202</v>
      </c>
      <c r="E4" s="3" t="s">
        <v>203</v>
      </c>
      <c r="F4" s="3" t="s">
        <v>109</v>
      </c>
      <c r="G4" s="3" t="s">
        <v>204</v>
      </c>
      <c r="H4" s="3" t="s">
        <v>205</v>
      </c>
      <c r="I4" s="3" t="s">
        <v>206</v>
      </c>
      <c r="J4" s="3" t="s">
        <v>207</v>
      </c>
    </row>
    <row r="5" customFormat="false" ht="15" hidden="false" customHeight="false" outlineLevel="0" collapsed="false">
      <c r="A5" s="4" t="s">
        <v>208</v>
      </c>
      <c r="B5" s="5" t="s">
        <v>133</v>
      </c>
      <c r="C5" s="4" t="s">
        <v>209</v>
      </c>
      <c r="D5" s="4" t="s">
        <v>210</v>
      </c>
      <c r="E5" s="4" t="s">
        <v>211</v>
      </c>
      <c r="F5" s="11" t="s">
        <v>212</v>
      </c>
      <c r="G5" s="4" t="s">
        <v>213</v>
      </c>
      <c r="H5" s="4" t="s">
        <v>165</v>
      </c>
      <c r="I5" s="11" t="s">
        <v>214</v>
      </c>
      <c r="J5" s="12" t="n">
        <f aca="false">IF(H5="194Q",0.001,IF(H5="194J",0.1,IF(H5="194C",IF(I5="Y – on file",0,IF(OR(C5="Individual / Proprietorship",C5="HUF"),0.01,0.02)),"")))</f>
        <v>0.001</v>
      </c>
    </row>
    <row r="6" customFormat="false" ht="15" hidden="false" customHeight="false" outlineLevel="0" collapsed="false">
      <c r="A6" s="6" t="s">
        <v>215</v>
      </c>
      <c r="B6" s="7" t="s">
        <v>136</v>
      </c>
      <c r="C6" s="6" t="s">
        <v>216</v>
      </c>
      <c r="D6" s="6" t="s">
        <v>217</v>
      </c>
      <c r="E6" s="6" t="s">
        <v>211</v>
      </c>
      <c r="F6" s="13" t="s">
        <v>218</v>
      </c>
      <c r="G6" s="6" t="s">
        <v>213</v>
      </c>
      <c r="H6" s="6" t="s">
        <v>165</v>
      </c>
      <c r="I6" s="13" t="s">
        <v>214</v>
      </c>
      <c r="J6" s="14" t="n">
        <f aca="false">IF(H6="194Q",0.001,IF(H6="194J",0.1,IF(H6="194C",IF(I6="Y – on file",0,IF(OR(C6="Individual / Proprietorship",C6="HUF"),0.01,0.02)),"")))</f>
        <v>0.001</v>
      </c>
    </row>
    <row r="7" customFormat="false" ht="15" hidden="false" customHeight="false" outlineLevel="0" collapsed="false">
      <c r="A7" s="4" t="s">
        <v>219</v>
      </c>
      <c r="B7" s="5" t="s">
        <v>220</v>
      </c>
      <c r="C7" s="4" t="s">
        <v>216</v>
      </c>
      <c r="D7" s="4" t="s">
        <v>221</v>
      </c>
      <c r="E7" s="4" t="s">
        <v>211</v>
      </c>
      <c r="F7" s="11" t="s">
        <v>222</v>
      </c>
      <c r="G7" s="4" t="s">
        <v>213</v>
      </c>
      <c r="H7" s="4" t="s">
        <v>169</v>
      </c>
      <c r="I7" s="11" t="s">
        <v>223</v>
      </c>
      <c r="J7" s="12" t="n">
        <f aca="false">IF(H7="194Q",0.001,IF(H7="194J",0.1,IF(H7="194C",IF(I7="Y – on file",0,IF(OR(C7="Individual / Proprietorship",C7="HUF"),0.01,0.02)),"")))</f>
        <v>0.02</v>
      </c>
    </row>
    <row r="8" customFormat="false" ht="15" hidden="false" customHeight="false" outlineLevel="0" collapsed="false">
      <c r="A8" s="6" t="s">
        <v>224</v>
      </c>
      <c r="B8" s="7" t="s">
        <v>142</v>
      </c>
      <c r="C8" s="6" t="s">
        <v>209</v>
      </c>
      <c r="D8" s="6" t="s">
        <v>225</v>
      </c>
      <c r="E8" s="6" t="s">
        <v>211</v>
      </c>
      <c r="F8" s="13" t="s">
        <v>226</v>
      </c>
      <c r="G8" s="6" t="s">
        <v>213</v>
      </c>
      <c r="H8" s="6" t="s">
        <v>165</v>
      </c>
      <c r="I8" s="13" t="s">
        <v>214</v>
      </c>
      <c r="J8" s="14" t="n">
        <f aca="false">IF(H8="194Q",0.001,IF(H8="194J",0.1,IF(H8="194C",IF(I8="Y – on file",0,IF(OR(C8="Individual / Proprietorship",C8="HUF"),0.01,0.02)),"")))</f>
        <v>0.001</v>
      </c>
    </row>
    <row r="9" customFormat="false" ht="23.85" hidden="false" customHeight="false" outlineLevel="0" collapsed="false">
      <c r="A9" s="4" t="s">
        <v>227</v>
      </c>
      <c r="B9" s="5" t="s">
        <v>146</v>
      </c>
      <c r="C9" s="4" t="s">
        <v>228</v>
      </c>
      <c r="D9" s="4" t="s">
        <v>229</v>
      </c>
      <c r="E9" s="4" t="s">
        <v>211</v>
      </c>
      <c r="F9" s="11" t="s">
        <v>230</v>
      </c>
      <c r="G9" s="4" t="s">
        <v>213</v>
      </c>
      <c r="H9" s="4" t="s">
        <v>169</v>
      </c>
      <c r="I9" s="11" t="s">
        <v>231</v>
      </c>
      <c r="J9" s="12" t="n">
        <f aca="false">IF(H9="194Q",0.001,IF(H9="194J",0.1,IF(H9="194C",IF(I9="Y – on file",0,IF(OR(C9="Individual / Proprietorship",C9="HUF"),0.01,0.02)),"")))</f>
        <v>0.02</v>
      </c>
    </row>
    <row r="10" customFormat="false" ht="15" hidden="false" customHeight="false" outlineLevel="0" collapsed="false">
      <c r="A10" s="6" t="s">
        <v>232</v>
      </c>
      <c r="B10" s="7" t="s">
        <v>233</v>
      </c>
      <c r="C10" s="6" t="s">
        <v>234</v>
      </c>
      <c r="D10" s="6" t="s">
        <v>235</v>
      </c>
      <c r="E10" s="6" t="s">
        <v>236</v>
      </c>
      <c r="F10" s="13" t="s">
        <v>237</v>
      </c>
      <c r="G10" s="6" t="s">
        <v>213</v>
      </c>
      <c r="H10" s="6" t="s">
        <v>175</v>
      </c>
      <c r="I10" s="13" t="s">
        <v>214</v>
      </c>
      <c r="J10" s="14" t="n">
        <f aca="false">IF(H10="194Q",0.001,IF(H10="194J",0.1,IF(H10="194C",IF(I10="Y – on file",0,IF(OR(C10="Individual / Proprietorship",C10="HUF"),0.01,0.02)),"")))</f>
        <v>0.1</v>
      </c>
    </row>
    <row r="11" customFormat="false" ht="15" hidden="false" customHeight="false" outlineLevel="0" collapsed="false">
      <c r="A11" s="4" t="s">
        <v>238</v>
      </c>
      <c r="B11" s="5" t="s">
        <v>156</v>
      </c>
      <c r="C11" s="4" t="s">
        <v>209</v>
      </c>
      <c r="D11" s="4" t="s">
        <v>239</v>
      </c>
      <c r="E11" s="4" t="s">
        <v>211</v>
      </c>
      <c r="F11" s="11" t="s">
        <v>240</v>
      </c>
      <c r="G11" s="4" t="s">
        <v>213</v>
      </c>
      <c r="H11" s="4" t="s">
        <v>165</v>
      </c>
      <c r="I11" s="11" t="s">
        <v>214</v>
      </c>
      <c r="J11" s="12" t="n">
        <f aca="false">IF(H11="194Q",0.001,IF(H11="194J",0.1,IF(H11="194C",IF(I11="Y – on file",0,IF(OR(C11="Individual / Proprietorship",C11="HUF"),0.01,0.02)),"")))</f>
        <v>0.001</v>
      </c>
    </row>
    <row r="12" customFormat="false" ht="15" hidden="false" customHeight="false" outlineLevel="0" collapsed="false">
      <c r="A12" s="6" t="s">
        <v>241</v>
      </c>
      <c r="B12" s="7" t="s">
        <v>242</v>
      </c>
      <c r="C12" s="6" t="s">
        <v>216</v>
      </c>
      <c r="D12" s="6" t="s">
        <v>243</v>
      </c>
      <c r="E12" s="6" t="s">
        <v>211</v>
      </c>
      <c r="F12" s="13" t="s">
        <v>222</v>
      </c>
      <c r="G12" s="6" t="s">
        <v>213</v>
      </c>
      <c r="H12" s="6" t="s">
        <v>169</v>
      </c>
      <c r="I12" s="13" t="s">
        <v>223</v>
      </c>
      <c r="J12" s="14" t="n">
        <f aca="false">IF(H12="194Q",0.001,IF(H12="194J",0.1,IF(H12="194C",IF(I12="Y – on file",0,IF(OR(C12="Individual / Proprietorship",C12="HUF"),0.01,0.02)),"")))</f>
        <v>0.02</v>
      </c>
    </row>
    <row r="13" customFormat="false" ht="15" hidden="false" customHeight="false" outlineLevel="0" collapsed="false">
      <c r="A13" s="4" t="s">
        <v>244</v>
      </c>
      <c r="B13" s="5" t="s">
        <v>245</v>
      </c>
      <c r="C13" s="4" t="s">
        <v>209</v>
      </c>
      <c r="D13" s="4" t="s">
        <v>246</v>
      </c>
      <c r="E13" s="4" t="s">
        <v>211</v>
      </c>
      <c r="F13" s="11" t="s">
        <v>222</v>
      </c>
      <c r="G13" s="4" t="s">
        <v>213</v>
      </c>
      <c r="H13" s="4" t="s">
        <v>169</v>
      </c>
      <c r="I13" s="11" t="s">
        <v>247</v>
      </c>
      <c r="J13" s="12" t="n">
        <f aca="false">IF(H13="194Q",0.001,IF(H13="194J",0.1,IF(H13="194C",IF(I13="Y – on file",0,IF(OR(C13="Individual / Proprietorship",C13="HUF"),0.01,0.02)),"")))</f>
        <v>0</v>
      </c>
    </row>
    <row r="14" customFormat="false" ht="15" hidden="false" customHeight="false" outlineLevel="0" collapsed="false">
      <c r="A14" s="6" t="s">
        <v>248</v>
      </c>
      <c r="B14" s="7" t="s">
        <v>249</v>
      </c>
      <c r="C14" s="6" t="s">
        <v>234</v>
      </c>
      <c r="D14" s="6" t="s">
        <v>250</v>
      </c>
      <c r="E14" s="6" t="s">
        <v>211</v>
      </c>
      <c r="F14" s="13" t="s">
        <v>237</v>
      </c>
      <c r="G14" s="6" t="s">
        <v>213</v>
      </c>
      <c r="H14" s="6" t="s">
        <v>175</v>
      </c>
      <c r="I14" s="13" t="s">
        <v>214</v>
      </c>
      <c r="J14" s="14" t="n">
        <f aca="false">IF(H14="194Q",0.001,IF(H14="194J",0.1,IF(H14="194C",IF(I14="Y – on file",0,IF(OR(C14="Individual / Proprietorship",C14="HUF"),0.01,0.02)),"")))</f>
        <v>0.1</v>
      </c>
    </row>
    <row r="16" customFormat="false" ht="15" hidden="false" customHeight="false" outlineLevel="0" collapsed="false">
      <c r="A16" s="8" t="s">
        <v>251</v>
      </c>
    </row>
    <row r="17" customFormat="false" ht="15" hidden="false" customHeight="false" outlineLevel="0" collapsed="false">
      <c r="A17" s="8" t="s">
        <v>252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2026-09-22T00:19:27Z</dcterms:created>
  <dc:creator>openpyxl</dc:creator>
  <dc:description/>
  <dc:language>en-US</dc:language>
  <cp:lastModifiedBy/>
  <dcterms:modified xsi:type="dcterms:W3CDTF">2026-09-22T00:19:27Z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